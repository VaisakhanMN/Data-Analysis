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bitos Patisserie\OneDrive\entri\Data analytics\assignments\"/>
    </mc:Choice>
  </mc:AlternateContent>
  <xr:revisionPtr revIDLastSave="0" documentId="13_ncr:1_{493E4914-70D9-4CD6-93C6-26A922D1049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Table1_1" sheetId="5" r:id="rId3"/>
    <sheet name="Table1" sheetId="4" r:id="rId4"/>
  </sheets>
  <definedNames>
    <definedName name="ExternalData_1" localSheetId="3" hidden="1">Table1!$A$1:$G$35</definedName>
    <definedName name="ExternalData_2" localSheetId="2" hidden="1">Table1_1!$A$1:$I$35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A0C29B-34B0-4413-A09E-FB3EA759005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C18C224-AE36-4785-9C35-B669386C9D58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<sst xmlns="http://schemas.openxmlformats.org/spreadsheetml/2006/main" count="550" uniqueCount="163">
  <si>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</si>
  <si>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</si>
  <si>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</si>
  <si>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</si>
  <si>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</si>
  <si>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</si>
  <si>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</si>
  <si>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</si>
  <si>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</si>
  <si>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</si>
  <si>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</si>
  <si>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</si>
  <si>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</si>
  <si>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</si>
  <si>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</si>
  <si>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</si>
  <si>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</si>
  <si>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</si>
  <si>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</si>
  <si>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</si>
  <si>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</si>
  <si>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</si>
  <si>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</si>
  <si>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</si>
  <si>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</si>
  <si>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</si>
  <si>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</si>
  <si>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</si>
  <si>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</si>
  <si>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</si>
  <si>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</si>
  <si>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</si>
  <si>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</si>
  <si>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</si>
  <si>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</si>
  <si>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</si>
  <si>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</si>
  <si>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</si>
  <si>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</si>
  <si>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</si>
  <si>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</si>
  <si>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</si>
  <si>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</si>
  <si>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</si>
  <si>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</si>
  <si>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</si>
  <si>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</si>
  <si>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</si>
  <si>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</si>
  <si>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</si>
  <si>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</si>
  <si>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</si>
  <si>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</si>
  <si>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</si>
  <si>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</si>
  <si>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</si>
  <si>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</si>
  <si>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</si>
  <si>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</si>
  <si>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</si>
  <si>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</si>
  <si>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</si>
  <si>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</si>
  <si>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</si>
  <si>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</si>
  <si>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</si>
  <si>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</si>
  <si>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</si>
  <si>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</si>
  <si>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</si>
  <si>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</si>
  <si>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</si>
  <si>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</si>
  <si>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</si>
  <si>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</si>
  <si>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</si>
  <si>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</si>
  <si>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</si>
  <si>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</si>
  <si>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</si>
  <si>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</si>
  <si>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</si>
  <si>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</si>
  <si>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</si>
  <si>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</si>
  <si>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</si>
  <si>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</si>
  <si>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</si>
  <si>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</si>
  <si>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</si>
  <si>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</si>
  <si>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</si>
  <si>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</si>
  <si>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</si>
  <si>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</si>
  <si>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</si>
  <si>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</si>
  <si>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</si>
  <si>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</si>
  <si>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</si>
  <si>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</si>
  <si>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</si>
  <si>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</si>
  <si>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</si>
  <si>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</si>
  <si>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</si>
  <si>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</si>
  <si>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</si>
  <si>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</si>
  <si>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</si>
  <si>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</si>
  <si>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</si>
  <si>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</si>
  <si>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</si>
  <si>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</si>
  <si>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</si>
  <si>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</si>
  <si>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Manufacturing date</t>
  </si>
  <si>
    <t>Country Code</t>
  </si>
  <si>
    <t>Product Brand</t>
  </si>
  <si>
    <t>Laptop -&gt; Dell</t>
  </si>
  <si>
    <t>Sneakers -&gt; Nike</t>
  </si>
  <si>
    <t>Coffee Maker -&gt; Keurig</t>
  </si>
  <si>
    <t>Smartphone -&gt; Samsung</t>
  </si>
  <si>
    <t>Backpack -&gt; North Face</t>
  </si>
  <si>
    <t>Headphones -&gt; Sony</t>
  </si>
  <si>
    <t>T-Shirt -&gt; Adidas</t>
  </si>
  <si>
    <t>Blender -&gt; Ninja</t>
  </si>
  <si>
    <t>Tablet -&gt; Apple</t>
  </si>
  <si>
    <t>Hiking Boots -&gt; Timberland</t>
  </si>
  <si>
    <t>Laptop -&gt; HP</t>
  </si>
  <si>
    <t>Sneakers -&gt; Adidas</t>
  </si>
  <si>
    <t>Coffee Maker -&gt; Nespresso</t>
  </si>
  <si>
    <t>Smartwatch -&gt; Fitbit</t>
  </si>
  <si>
    <t>Headphones -&gt; Bose</t>
  </si>
  <si>
    <t>Laptop Bag -&gt; Samsonite</t>
  </si>
  <si>
    <t>Smartwatch -&gt; Huawei</t>
  </si>
  <si>
    <t>Laptop -&gt; Asus</t>
  </si>
  <si>
    <t>Sunglasses -&gt; Oakley</t>
  </si>
  <si>
    <t>Camping Tent -&gt; Coleman</t>
  </si>
  <si>
    <t>Camera -&gt; Nikon</t>
  </si>
  <si>
    <t>Microwave -&gt; Panasonic</t>
  </si>
  <si>
    <t>Fitness Tracker -&gt; Xiaomi</t>
  </si>
  <si>
    <t>Smartphone -&gt; Google</t>
  </si>
  <si>
    <t>Sunglasses -&gt; Ray-Ban</t>
  </si>
  <si>
    <t>Blender -&gt; Vitamix</t>
  </si>
  <si>
    <t>Dress -&gt; Zara</t>
  </si>
  <si>
    <t>Toaster -&gt; Hamilton</t>
  </si>
  <si>
    <t>Fitness Tracker -&gt; Garmin</t>
  </si>
  <si>
    <t>Jeans -&gt; Levi's</t>
  </si>
  <si>
    <t>Watch -&gt; 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</si>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</sst>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  <xf numFmtId="166" fontId="0" fillId="0" borderId="2" xfId="0" applyNumberFormat="1" applyBorder="1"/>
    <xf numFmtId="0" fontId="0" fillId="0" borderId="2" xfId="0" applyBorder="1"/>
    <xf numFmtId="0" fontId="0" fillId="0" borderId="3" xfId="0" applyNumberFormat="1" applyBorder="1" applyAlignment="1">
      <alignment wrapText="1"/>
    </xf>
    <xf numFmtId="0" fontId="0" fillId="0" borderId="4" xfId="0" applyNumberFormat="1" applyBorder="1"/>
    <xf numFmtId="0" fontId="0" fillId="0" borderId="5" xfId="0" applyNumberFormat="1" applyBorder="1"/>
    <xf numFmtId="166" fontId="0" fillId="0" borderId="5" xfId="0" applyNumberFormat="1" applyBorder="1"/>
    <xf numFmtId="0" fontId="0" fillId="0" borderId="5" xfId="0" applyBorder="1"/>
    <xf numFmtId="0" fontId="0" fillId="0" borderId="6" xfId="0" applyNumberFormat="1" applyBorder="1" applyAlignment="1">
      <alignment wrapText="1"/>
    </xf>
    <xf numFmtId="0" fontId="0" fillId="0" borderId="7" xfId="0" applyNumberFormat="1" applyBorder="1"/>
    <xf numFmtId="0" fontId="0" fillId="0" borderId="8" xfId="0" applyNumberFormat="1" applyBorder="1"/>
    <xf numFmtId="166" fontId="0" fillId="0" borderId="8" xfId="0" applyNumberFormat="1" applyBorder="1"/>
    <xf numFmtId="0" fontId="0" fillId="0" borderId="8" xfId="0" applyBorder="1"/>
    <xf numFmtId="0" fontId="0" fillId="0" borderId="9" xfId="0" applyNumberFormat="1" applyBorder="1" applyAlignment="1">
      <alignment wrapText="1"/>
    </xf>
    <xf numFmtId="14" fontId="0" fillId="0" borderId="0" xfId="0" applyNumberFormat="1" applyAlignment="1">
      <alignment horizontal="center" vertical="center" wrapText="1"/>
    </xf>
    <xf numFmtId="14" fontId="0" fillId="0" borderId="2" xfId="0" applyNumberFormat="1" applyBorder="1"/>
    <xf numFmtId="14" fontId="0" fillId="0" borderId="5" xfId="0" applyNumberFormat="1" applyBorder="1"/>
    <xf numFmtId="14" fontId="0" fillId="0" borderId="8" xfId="0" applyNumberFormat="1" applyBorder="1"/>
    <xf numFmtId="14" fontId="0" fillId="0" borderId="0" xfId="0" applyNumberFormat="1"/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strike val="0"/>
      </font>
      <fill>
        <patternFill>
          <bgColor rgb="FFD056E8"/>
        </patternFill>
      </fill>
    </dxf>
    <dxf>
      <font>
        <b/>
        <i val="0"/>
        <strike val="0"/>
      </font>
      <fill>
        <patternFill>
          <bgColor rgb="FFD056E8"/>
        </patternFill>
      </fill>
    </dxf>
    <dxf>
      <fill>
        <patternFill>
          <bgColor theme="0" tint="-0.34998626667073579"/>
        </patternFill>
      </fill>
    </dxf>
    <dxf>
      <font>
        <b/>
        <i val="0"/>
        <strike val="0"/>
      </font>
      <fill>
        <patternFill>
          <bgColor rgb="FFD056E8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thin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vertical="center" textRotation="0" wrapText="0" indent="0" justifyLastLine="0" shrinkToFit="0" readingOrder="0"/>
    </dxf>
    <dxf>
      <numFmt numFmtId="19" formatCode="dd/mm/yyyy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0" formatCode="General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66" formatCode="[$$-409]#,##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0" formatCode="General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0" formatCode="General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3399FF"/>
      <color rgb="FFD056E8"/>
      <color rgb="FFFC8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406836D-4F52-436D-B818-3EEB91F99B00}" autoFormatId="16" applyNumberFormats="0" applyBorderFormats="0" applyFontFormats="0" applyPatternFormats="0" applyAlignmentFormats="0" applyWidthHeightFormats="0">
  <queryTableRefresh nextId="11">
    <queryTableFields count="9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Product Brand" tableColumnId="7"/>
      <queryTableField id="8" name="Manufacturing date" tableColumnId="8"/>
      <queryTableField id="9" name="Country Cod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B7013F-0B86-4C48-82BA-693E757F1581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12" name="Product Brand" tableColumnId="12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591234-BF4D-4057-8C1E-AAF4BFF5A1FE}" name="Table1_2" displayName="Table1_2" ref="A1:I35" tableType="queryTable" totalsRowShown="0" dataDxfId="14">
  <autoFilter ref="A1:I35" xr:uid="{26591234-BF4D-4057-8C1E-AAF4BFF5A1FE}"/>
  <tableColumns count="9">
    <tableColumn id="1" xr3:uid="{11D445B1-D1AC-4360-94B5-5FAC5A4467F3}" uniqueName="1" name="Product ID" queryTableFieldId="1" dataDxfId="13"/>
    <tableColumn id="2" xr3:uid="{4C15AD7C-84B9-4547-8FDE-4C7C447548E5}" uniqueName="2" name="Product Name" queryTableFieldId="2" dataDxfId="12"/>
    <tableColumn id="3" xr3:uid="{7A7E3B1F-30BA-4F77-A0C6-A0C52D802788}" uniqueName="3" name="Brand Name" queryTableFieldId="3" dataDxfId="11"/>
    <tableColumn id="4" xr3:uid="{13123517-0D5F-44FE-8E34-A419BB965BCC}" uniqueName="4" name="Price ($)" queryTableFieldId="4" dataDxfId="10"/>
    <tableColumn id="5" xr3:uid="{A123C39A-22E5-4380-B468-8DE0238C0137}" uniqueName="5" name="Quantity" queryTableFieldId="5" dataDxfId="9"/>
    <tableColumn id="6" xr3:uid="{990384DC-460B-42F9-A5B9-5EE16F008F57}" uniqueName="6" name="Category" queryTableFieldId="6" dataDxfId="8"/>
    <tableColumn id="7" xr3:uid="{B1768172-5D01-4DDE-99F4-0FCD4922125B}" uniqueName="7" name="Product Brand" queryTableFieldId="7" dataDxfId="7"/>
    <tableColumn id="8" xr3:uid="{3C975684-7DD9-466A-9F72-CE25522811AE}" uniqueName="8" name="Manufacturing date" queryTableFieldId="8" dataDxfId="6"/>
    <tableColumn id="9" xr3:uid="{0D4B9011-59DE-4FA4-93AF-CC396AD9D89B}" uniqueName="9" name="Country Code" queryTableFieldId="9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6A4137-1A38-488E-ABC0-3CD962248A90}" name="Table1_1" displayName="Table1_1" ref="A1:I35" tableType="queryTable" totalsRowShown="0" headerRowDxfId="24">
  <autoFilter ref="A1:I35" xr:uid="{686A4137-1A38-488E-ABC0-3CD962248A90}"/>
  <tableColumns count="9">
    <tableColumn id="1" xr3:uid="{B266BA9A-B594-42B9-8593-C5958EAA747A}" uniqueName="1" name="Product ID" queryTableFieldId="1" dataDxfId="23"/>
    <tableColumn id="2" xr3:uid="{BCD9CD22-D036-429D-9FFA-71AB1F93ECBB}" uniqueName="2" name="Product Name" queryTableFieldId="2" dataDxfId="22"/>
    <tableColumn id="3" xr3:uid="{F8FBB800-3E3F-47D4-8FA5-F12391A866B7}" uniqueName="3" name="Brand Name" queryTableFieldId="3" dataDxfId="21"/>
    <tableColumn id="4" xr3:uid="{E98CF6EE-582F-42FB-9C1A-63E08FAAB8B4}" uniqueName="4" name="Price ($)" queryTableFieldId="4" dataDxfId="20"/>
    <tableColumn id="5" xr3:uid="{8D4061BD-2716-4E91-A4E4-70561F7D46A4}" uniqueName="5" name="Quantity" queryTableFieldId="5" dataDxfId="19"/>
    <tableColumn id="6" xr3:uid="{250420CE-382B-4AFE-821D-1A9EAC25F7D3}" uniqueName="6" name="Category" queryTableFieldId="6" dataDxfId="18"/>
    <tableColumn id="12" xr3:uid="{AC9C40E3-F85D-4B31-9271-1EB9BD95E360}" uniqueName="12" name="Product Brand" queryTableFieldId="12" dataDxfId="17"/>
    <tableColumn id="8" xr3:uid="{9DC74CC7-EC12-4F17-B85C-8539A6044968}" uniqueName="8" name="Manufacturing date" queryTableFieldId="8" dataDxfId="15">
      <calculatedColumnFormula>LEFT(Table1_1[[#This Row],[Product ID]],6)</calculatedColumnFormula>
    </tableColumn>
    <tableColumn id="9" xr3:uid="{5B6C81EC-1B32-4986-9AE6-F37052263431}" uniqueName="9" name="Country Code" queryTableFieldId="9" dataDxfId="16">
      <calculatedColumnFormula>RIGHT(Table1_1[[#This Row],[Product ID]],2)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9" workbookViewId="0">
      <selection activeCell="H26" sqref="H2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B1" sqref="B1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B9E7-FE5D-45A2-9A1D-D63E3B11F7E5}">
  <dimension ref="A1:J35"/>
  <sheetViews>
    <sheetView tabSelected="1" zoomScale="80" zoomScaleNormal="80" workbookViewId="0">
      <selection activeCell="L10" sqref="L10"/>
    </sheetView>
  </sheetViews>
  <sheetFormatPr defaultRowHeight="13.2" x14ac:dyDescent="0.25"/>
  <cols>
    <col min="1" max="1" width="12.5546875" bestFit="1" customWidth="1"/>
    <col min="2" max="2" width="15.77734375" bestFit="1" customWidth="1"/>
    <col min="3" max="3" width="14" bestFit="1" customWidth="1"/>
    <col min="4" max="4" width="10.5546875" bestFit="1" customWidth="1"/>
    <col min="5" max="5" width="10.6640625" bestFit="1" customWidth="1"/>
    <col min="6" max="6" width="11.21875" bestFit="1" customWidth="1"/>
    <col min="7" max="7" width="23.77734375" bestFit="1" customWidth="1"/>
    <col min="8" max="8" width="20.21875" bestFit="1" customWidth="1"/>
    <col min="9" max="9" width="15.5546875" bestFit="1" customWidth="1"/>
    <col min="10" max="10" width="14.33203125" customWidth="1"/>
  </cols>
  <sheetData>
    <row r="1" spans="1:1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119</v>
      </c>
      <c r="H1" t="s">
        <v>117</v>
      </c>
      <c r="I1" t="s">
        <v>118</v>
      </c>
    </row>
    <row r="2" spans="1:10" x14ac:dyDescent="0.25">
      <c r="A2" s="34" t="s">
        <v>25</v>
      </c>
      <c r="B2" s="35" t="s">
        <v>61</v>
      </c>
      <c r="C2" s="35" t="s">
        <v>27</v>
      </c>
      <c r="D2" s="36">
        <v>1000</v>
      </c>
      <c r="E2" s="36">
        <v>30</v>
      </c>
      <c r="F2" s="35" t="s">
        <v>28</v>
      </c>
      <c r="G2" s="35" t="s">
        <v>120</v>
      </c>
      <c r="H2" s="37">
        <v>45685</v>
      </c>
      <c r="I2" s="38" t="s">
        <v>151</v>
      </c>
    </row>
    <row r="3" spans="1:10" x14ac:dyDescent="0.25">
      <c r="A3" s="39" t="s">
        <v>29</v>
      </c>
      <c r="B3" s="40" t="s">
        <v>30</v>
      </c>
      <c r="C3" s="40" t="s">
        <v>31</v>
      </c>
      <c r="D3" s="41">
        <v>80</v>
      </c>
      <c r="E3" s="41">
        <v>15</v>
      </c>
      <c r="F3" s="40" t="s">
        <v>32</v>
      </c>
      <c r="G3" s="40" t="s">
        <v>121</v>
      </c>
      <c r="H3" s="42">
        <v>45703</v>
      </c>
      <c r="I3" s="43" t="s">
        <v>151</v>
      </c>
    </row>
    <row r="4" spans="1:10" x14ac:dyDescent="0.25">
      <c r="A4" s="39" t="s">
        <v>33</v>
      </c>
      <c r="B4" s="40" t="s">
        <v>34</v>
      </c>
      <c r="C4" s="40" t="s">
        <v>35</v>
      </c>
      <c r="D4" s="41">
        <v>130</v>
      </c>
      <c r="E4" s="41">
        <v>40</v>
      </c>
      <c r="F4" s="40" t="s">
        <v>36</v>
      </c>
      <c r="G4" s="40" t="s">
        <v>122</v>
      </c>
      <c r="H4" s="42">
        <v>45719</v>
      </c>
      <c r="I4" s="43" t="s">
        <v>151</v>
      </c>
    </row>
    <row r="5" spans="1:10" x14ac:dyDescent="0.25">
      <c r="A5" s="39" t="s">
        <v>37</v>
      </c>
      <c r="B5" s="40" t="s">
        <v>96</v>
      </c>
      <c r="C5" s="40" t="s">
        <v>39</v>
      </c>
      <c r="D5" s="41">
        <v>900</v>
      </c>
      <c r="E5" s="41">
        <v>25</v>
      </c>
      <c r="F5" s="40" t="s">
        <v>28</v>
      </c>
      <c r="G5" s="40" t="s">
        <v>123</v>
      </c>
      <c r="H5" s="42">
        <v>45758</v>
      </c>
      <c r="I5" s="43" t="s">
        <v>151</v>
      </c>
    </row>
    <row r="6" spans="1:10" x14ac:dyDescent="0.25">
      <c r="A6" s="39" t="s">
        <v>40</v>
      </c>
      <c r="B6" s="40" t="s">
        <v>41</v>
      </c>
      <c r="C6" s="40" t="s">
        <v>42</v>
      </c>
      <c r="D6" s="41">
        <v>70</v>
      </c>
      <c r="E6" s="41">
        <v>20</v>
      </c>
      <c r="F6" s="40" t="s">
        <v>28</v>
      </c>
      <c r="G6" s="40" t="s">
        <v>124</v>
      </c>
      <c r="H6" s="42">
        <v>45799</v>
      </c>
      <c r="I6" s="43" t="s">
        <v>151</v>
      </c>
    </row>
    <row r="7" spans="1:10" x14ac:dyDescent="0.25">
      <c r="A7" s="39" t="s">
        <v>43</v>
      </c>
      <c r="B7" s="40" t="s">
        <v>44</v>
      </c>
      <c r="C7" s="40" t="s">
        <v>45</v>
      </c>
      <c r="D7" s="41">
        <v>70</v>
      </c>
      <c r="E7" s="41">
        <v>45</v>
      </c>
      <c r="F7" s="40" t="s">
        <v>28</v>
      </c>
      <c r="G7" s="40" t="s">
        <v>125</v>
      </c>
      <c r="H7" s="42">
        <v>45815</v>
      </c>
      <c r="I7" s="43" t="s">
        <v>152</v>
      </c>
      <c r="J7" t="s">
        <v>32</v>
      </c>
    </row>
    <row r="8" spans="1:10" x14ac:dyDescent="0.25">
      <c r="A8" s="39" t="s">
        <v>47</v>
      </c>
      <c r="B8" s="40" t="s">
        <v>116</v>
      </c>
      <c r="C8" s="40" t="s">
        <v>49</v>
      </c>
      <c r="D8" s="41">
        <v>30</v>
      </c>
      <c r="E8" s="41">
        <v>5</v>
      </c>
      <c r="F8" s="40" t="s">
        <v>32</v>
      </c>
      <c r="G8" s="40" t="s">
        <v>126</v>
      </c>
      <c r="H8" s="42">
        <v>45857</v>
      </c>
      <c r="I8" s="43" t="s">
        <v>152</v>
      </c>
    </row>
    <row r="9" spans="1:10" x14ac:dyDescent="0.25">
      <c r="A9" s="39" t="s">
        <v>50</v>
      </c>
      <c r="B9" s="40" t="s">
        <v>51</v>
      </c>
      <c r="C9" s="40" t="s">
        <v>52</v>
      </c>
      <c r="D9" s="41">
        <v>90</v>
      </c>
      <c r="E9" s="41">
        <v>35</v>
      </c>
      <c r="F9" s="40" t="s">
        <v>36</v>
      </c>
      <c r="G9" s="40" t="s">
        <v>127</v>
      </c>
      <c r="H9" s="42">
        <v>45892</v>
      </c>
      <c r="I9" s="43" t="s">
        <v>152</v>
      </c>
    </row>
    <row r="10" spans="1:10" x14ac:dyDescent="0.25">
      <c r="A10" s="39" t="s">
        <v>53</v>
      </c>
      <c r="B10" s="40" t="s">
        <v>54</v>
      </c>
      <c r="C10" s="40" t="s">
        <v>55</v>
      </c>
      <c r="D10" s="41">
        <v>500</v>
      </c>
      <c r="E10" s="41">
        <v>50</v>
      </c>
      <c r="F10" s="40" t="s">
        <v>28</v>
      </c>
      <c r="G10" s="40" t="s">
        <v>128</v>
      </c>
      <c r="H10" s="42">
        <v>45905</v>
      </c>
      <c r="I10" s="43" t="s">
        <v>152</v>
      </c>
    </row>
    <row r="11" spans="1:10" x14ac:dyDescent="0.25">
      <c r="A11" s="39" t="s">
        <v>56</v>
      </c>
      <c r="B11" s="40" t="s">
        <v>57</v>
      </c>
      <c r="C11" s="40" t="s">
        <v>58</v>
      </c>
      <c r="D11" s="41">
        <v>130</v>
      </c>
      <c r="E11" s="41">
        <v>10</v>
      </c>
      <c r="F11" s="40" t="s">
        <v>59</v>
      </c>
      <c r="G11" s="40" t="s">
        <v>129</v>
      </c>
      <c r="H11" s="42">
        <v>45944</v>
      </c>
      <c r="I11" s="43" t="s">
        <v>152</v>
      </c>
    </row>
    <row r="12" spans="1:10" x14ac:dyDescent="0.25">
      <c r="A12" s="39" t="s">
        <v>60</v>
      </c>
      <c r="B12" s="40" t="s">
        <v>61</v>
      </c>
      <c r="C12" s="40" t="s">
        <v>62</v>
      </c>
      <c r="D12" s="41">
        <v>950</v>
      </c>
      <c r="E12" s="41">
        <v>25</v>
      </c>
      <c r="F12" s="40" t="s">
        <v>28</v>
      </c>
      <c r="G12" s="40" t="s">
        <v>130</v>
      </c>
      <c r="H12" s="42">
        <v>45825</v>
      </c>
      <c r="I12" s="43" t="s">
        <v>153</v>
      </c>
    </row>
    <row r="13" spans="1:10" x14ac:dyDescent="0.25">
      <c r="A13" s="39" t="s">
        <v>63</v>
      </c>
      <c r="B13" s="40" t="s">
        <v>30</v>
      </c>
      <c r="C13" s="40" t="s">
        <v>49</v>
      </c>
      <c r="D13" s="41">
        <v>90</v>
      </c>
      <c r="E13" s="41">
        <v>40</v>
      </c>
      <c r="F13" s="40" t="s">
        <v>28</v>
      </c>
      <c r="G13" s="40" t="s">
        <v>131</v>
      </c>
      <c r="H13" s="42">
        <v>45986</v>
      </c>
      <c r="I13" s="43" t="s">
        <v>154</v>
      </c>
    </row>
    <row r="14" spans="1:10" x14ac:dyDescent="0.25">
      <c r="A14" s="39" t="s">
        <v>64</v>
      </c>
      <c r="B14" s="40" t="s">
        <v>34</v>
      </c>
      <c r="C14" s="40" t="s">
        <v>65</v>
      </c>
      <c r="D14" s="41">
        <v>120</v>
      </c>
      <c r="E14" s="41">
        <v>35</v>
      </c>
      <c r="F14" s="40" t="s">
        <v>28</v>
      </c>
      <c r="G14" s="40" t="s">
        <v>132</v>
      </c>
      <c r="H14" s="42">
        <v>45999</v>
      </c>
      <c r="I14" s="43" t="s">
        <v>155</v>
      </c>
    </row>
    <row r="15" spans="1:10" x14ac:dyDescent="0.25">
      <c r="A15" s="39" t="s">
        <v>66</v>
      </c>
      <c r="B15" s="40" t="s">
        <v>67</v>
      </c>
      <c r="C15" s="40" t="s">
        <v>68</v>
      </c>
      <c r="D15" s="41">
        <v>150</v>
      </c>
      <c r="E15" s="41">
        <v>15</v>
      </c>
      <c r="F15" s="40" t="s">
        <v>28</v>
      </c>
      <c r="G15" s="40" t="s">
        <v>133</v>
      </c>
      <c r="H15" s="42">
        <v>45706</v>
      </c>
      <c r="I15" s="43" t="s">
        <v>156</v>
      </c>
    </row>
    <row r="16" spans="1:10" x14ac:dyDescent="0.25">
      <c r="A16" s="39" t="s">
        <v>69</v>
      </c>
      <c r="B16" s="40" t="s">
        <v>44</v>
      </c>
      <c r="C16" s="40" t="s">
        <v>71</v>
      </c>
      <c r="D16" s="41">
        <v>250</v>
      </c>
      <c r="E16" s="41">
        <v>20</v>
      </c>
      <c r="F16" s="40" t="s">
        <v>28</v>
      </c>
      <c r="G16" s="40" t="s">
        <v>134</v>
      </c>
      <c r="H16" s="42">
        <v>45763</v>
      </c>
      <c r="I16" s="43" t="s">
        <v>157</v>
      </c>
    </row>
    <row r="17" spans="1:9" x14ac:dyDescent="0.25">
      <c r="A17" s="39" t="s">
        <v>72</v>
      </c>
      <c r="B17" s="40" t="s">
        <v>73</v>
      </c>
      <c r="C17" s="40" t="s">
        <v>74</v>
      </c>
      <c r="D17" s="41">
        <v>50</v>
      </c>
      <c r="E17" s="41">
        <v>35</v>
      </c>
      <c r="F17" s="40" t="s">
        <v>75</v>
      </c>
      <c r="G17" s="40" t="s">
        <v>135</v>
      </c>
      <c r="H17" s="42">
        <v>45890</v>
      </c>
      <c r="I17" s="43" t="s">
        <v>156</v>
      </c>
    </row>
    <row r="18" spans="1:9" x14ac:dyDescent="0.25">
      <c r="A18" s="39" t="s">
        <v>76</v>
      </c>
      <c r="B18" s="40" t="s">
        <v>67</v>
      </c>
      <c r="C18" s="40" t="s">
        <v>77</v>
      </c>
      <c r="D18" s="41">
        <v>160</v>
      </c>
      <c r="E18" s="41">
        <v>15</v>
      </c>
      <c r="F18" s="40" t="s">
        <v>28</v>
      </c>
      <c r="G18" s="40" t="s">
        <v>136</v>
      </c>
      <c r="H18" s="42">
        <v>45889</v>
      </c>
      <c r="I18" s="43" t="s">
        <v>158</v>
      </c>
    </row>
    <row r="19" spans="1:9" x14ac:dyDescent="0.25">
      <c r="A19" s="39" t="s">
        <v>78</v>
      </c>
      <c r="B19" s="40" t="s">
        <v>61</v>
      </c>
      <c r="C19" s="40" t="s">
        <v>79</v>
      </c>
      <c r="D19" s="41">
        <v>980</v>
      </c>
      <c r="E19" s="41">
        <v>10</v>
      </c>
      <c r="F19" s="40" t="s">
        <v>28</v>
      </c>
      <c r="G19" s="40" t="s">
        <v>137</v>
      </c>
      <c r="H19" s="42">
        <v>45684</v>
      </c>
      <c r="I19" s="43" t="s">
        <v>159</v>
      </c>
    </row>
    <row r="20" spans="1:9" x14ac:dyDescent="0.25">
      <c r="A20" s="39" t="s">
        <v>80</v>
      </c>
      <c r="B20" s="40" t="s">
        <v>81</v>
      </c>
      <c r="C20" s="40" t="s">
        <v>82</v>
      </c>
      <c r="D20" s="41">
        <v>150</v>
      </c>
      <c r="E20" s="41">
        <v>15</v>
      </c>
      <c r="F20" s="40" t="s">
        <v>32</v>
      </c>
      <c r="G20" s="40" t="s">
        <v>138</v>
      </c>
      <c r="H20" s="42">
        <v>45717</v>
      </c>
      <c r="I20" s="43" t="s">
        <v>152</v>
      </c>
    </row>
    <row r="21" spans="1:9" x14ac:dyDescent="0.25">
      <c r="A21" s="39" t="s">
        <v>83</v>
      </c>
      <c r="B21" s="40" t="s">
        <v>84</v>
      </c>
      <c r="C21" s="40" t="s">
        <v>85</v>
      </c>
      <c r="D21" s="41">
        <v>150</v>
      </c>
      <c r="E21" s="41">
        <v>10</v>
      </c>
      <c r="F21" s="40" t="s">
        <v>59</v>
      </c>
      <c r="G21" s="40" t="s">
        <v>139</v>
      </c>
      <c r="H21" s="42">
        <v>45883</v>
      </c>
      <c r="I21" s="43" t="s">
        <v>151</v>
      </c>
    </row>
    <row r="22" spans="1:9" x14ac:dyDescent="0.25">
      <c r="A22" s="39" t="s">
        <v>86</v>
      </c>
      <c r="B22" s="40" t="s">
        <v>87</v>
      </c>
      <c r="C22" s="40" t="s">
        <v>88</v>
      </c>
      <c r="D22" s="41">
        <v>700</v>
      </c>
      <c r="E22" s="41">
        <v>50</v>
      </c>
      <c r="F22" s="40" t="s">
        <v>28</v>
      </c>
      <c r="G22" s="40" t="s">
        <v>140</v>
      </c>
      <c r="H22" s="42">
        <v>45791</v>
      </c>
      <c r="I22" s="43" t="s">
        <v>160</v>
      </c>
    </row>
    <row r="23" spans="1:9" x14ac:dyDescent="0.25">
      <c r="A23" s="39" t="s">
        <v>89</v>
      </c>
      <c r="B23" s="40" t="s">
        <v>90</v>
      </c>
      <c r="C23" s="40" t="s">
        <v>91</v>
      </c>
      <c r="D23" s="41">
        <v>80</v>
      </c>
      <c r="E23" s="41">
        <v>20</v>
      </c>
      <c r="F23" s="40" t="s">
        <v>36</v>
      </c>
      <c r="G23" s="40" t="s">
        <v>141</v>
      </c>
      <c r="H23" s="42">
        <v>45666</v>
      </c>
      <c r="I23" s="43" t="s">
        <v>156</v>
      </c>
    </row>
    <row r="24" spans="1:9" x14ac:dyDescent="0.25">
      <c r="A24" s="39" t="s">
        <v>92</v>
      </c>
      <c r="B24" s="40" t="s">
        <v>93</v>
      </c>
      <c r="C24" s="40" t="s">
        <v>94</v>
      </c>
      <c r="D24" s="41">
        <v>150</v>
      </c>
      <c r="E24" s="41">
        <v>30</v>
      </c>
      <c r="F24" s="40" t="s">
        <v>36</v>
      </c>
      <c r="G24" s="40" t="s">
        <v>142</v>
      </c>
      <c r="H24" s="42">
        <v>45857</v>
      </c>
      <c r="I24" s="43" t="s">
        <v>161</v>
      </c>
    </row>
    <row r="25" spans="1:9" x14ac:dyDescent="0.25">
      <c r="A25" s="39" t="s">
        <v>72</v>
      </c>
      <c r="B25" s="40" t="s">
        <v>73</v>
      </c>
      <c r="C25" s="40" t="s">
        <v>74</v>
      </c>
      <c r="D25" s="41">
        <v>50</v>
      </c>
      <c r="E25" s="41">
        <v>35</v>
      </c>
      <c r="F25" s="40" t="s">
        <v>75</v>
      </c>
      <c r="G25" s="40" t="s">
        <v>135</v>
      </c>
      <c r="H25" s="42">
        <v>45890</v>
      </c>
      <c r="I25" s="43" t="s">
        <v>156</v>
      </c>
    </row>
    <row r="26" spans="1:9" x14ac:dyDescent="0.25">
      <c r="A26" s="39" t="s">
        <v>95</v>
      </c>
      <c r="B26" s="40" t="s">
        <v>96</v>
      </c>
      <c r="C26" s="40" t="s">
        <v>97</v>
      </c>
      <c r="D26" s="41">
        <v>800</v>
      </c>
      <c r="E26" s="41">
        <v>45</v>
      </c>
      <c r="F26" s="40" t="s">
        <v>28</v>
      </c>
      <c r="G26" s="40" t="s">
        <v>143</v>
      </c>
      <c r="H26" s="42">
        <v>45929</v>
      </c>
      <c r="I26" s="43" t="s">
        <v>156</v>
      </c>
    </row>
    <row r="27" spans="1:9" x14ac:dyDescent="0.25">
      <c r="A27" s="39" t="s">
        <v>98</v>
      </c>
      <c r="B27" s="40" t="s">
        <v>81</v>
      </c>
      <c r="C27" s="40" t="s">
        <v>99</v>
      </c>
      <c r="D27" s="41">
        <v>800</v>
      </c>
      <c r="E27" s="41">
        <v>25</v>
      </c>
      <c r="F27" s="40" t="s">
        <v>32</v>
      </c>
      <c r="G27" s="40" t="s">
        <v>144</v>
      </c>
      <c r="H27" s="42">
        <v>45811</v>
      </c>
      <c r="I27" s="43" t="s">
        <v>156</v>
      </c>
    </row>
    <row r="28" spans="1:9" x14ac:dyDescent="0.25">
      <c r="A28" s="39" t="s">
        <v>100</v>
      </c>
      <c r="B28" s="40" t="s">
        <v>51</v>
      </c>
      <c r="C28" s="40" t="s">
        <v>101</v>
      </c>
      <c r="D28" s="41">
        <v>400</v>
      </c>
      <c r="E28" s="41">
        <v>40</v>
      </c>
      <c r="F28" s="40" t="s">
        <v>36</v>
      </c>
      <c r="G28" s="40" t="s">
        <v>145</v>
      </c>
      <c r="H28" s="42">
        <v>45849</v>
      </c>
      <c r="I28" s="43" t="s">
        <v>156</v>
      </c>
    </row>
    <row r="29" spans="1:9" x14ac:dyDescent="0.25">
      <c r="A29" s="39" t="s">
        <v>69</v>
      </c>
      <c r="B29" s="40" t="s">
        <v>44</v>
      </c>
      <c r="C29" s="40" t="s">
        <v>71</v>
      </c>
      <c r="D29" s="41">
        <v>250</v>
      </c>
      <c r="E29" s="41">
        <v>20</v>
      </c>
      <c r="F29" s="40" t="s">
        <v>28</v>
      </c>
      <c r="G29" s="40" t="s">
        <v>134</v>
      </c>
      <c r="H29" s="42">
        <v>45763</v>
      </c>
      <c r="I29" s="43" t="s">
        <v>157</v>
      </c>
    </row>
    <row r="30" spans="1:9" x14ac:dyDescent="0.25">
      <c r="A30" s="39" t="s">
        <v>102</v>
      </c>
      <c r="B30" s="40" t="s">
        <v>103</v>
      </c>
      <c r="C30" s="40" t="s">
        <v>104</v>
      </c>
      <c r="D30" s="41">
        <v>60</v>
      </c>
      <c r="E30" s="41">
        <v>30</v>
      </c>
      <c r="F30" s="40" t="s">
        <v>32</v>
      </c>
      <c r="G30" s="40" t="s">
        <v>146</v>
      </c>
      <c r="H30" s="42">
        <v>45723</v>
      </c>
      <c r="I30" s="43" t="s">
        <v>156</v>
      </c>
    </row>
    <row r="31" spans="1:9" x14ac:dyDescent="0.25">
      <c r="A31" s="39" t="s">
        <v>105</v>
      </c>
      <c r="B31" s="40" t="s">
        <v>106</v>
      </c>
      <c r="C31" s="40" t="s">
        <v>107</v>
      </c>
      <c r="D31" s="41">
        <v>40</v>
      </c>
      <c r="E31" s="41">
        <v>10</v>
      </c>
      <c r="F31" s="40" t="s">
        <v>36</v>
      </c>
      <c r="G31" s="40" t="s">
        <v>147</v>
      </c>
      <c r="H31" s="42">
        <v>45760</v>
      </c>
      <c r="I31" s="43" t="s">
        <v>156</v>
      </c>
    </row>
    <row r="32" spans="1:9" x14ac:dyDescent="0.25">
      <c r="A32" s="39" t="s">
        <v>108</v>
      </c>
      <c r="B32" s="40" t="s">
        <v>93</v>
      </c>
      <c r="C32" s="40" t="s">
        <v>109</v>
      </c>
      <c r="D32" s="41">
        <v>130</v>
      </c>
      <c r="E32" s="41">
        <v>5</v>
      </c>
      <c r="F32" s="40" t="s">
        <v>28</v>
      </c>
      <c r="G32" s="40" t="s">
        <v>148</v>
      </c>
      <c r="H32" s="42">
        <v>45801</v>
      </c>
      <c r="I32" s="43" t="s">
        <v>156</v>
      </c>
    </row>
    <row r="33" spans="1:9" x14ac:dyDescent="0.25">
      <c r="A33" s="39" t="s">
        <v>110</v>
      </c>
      <c r="B33" s="40" t="s">
        <v>111</v>
      </c>
      <c r="C33" s="40" t="s">
        <v>112</v>
      </c>
      <c r="D33" s="41">
        <v>50</v>
      </c>
      <c r="E33" s="41">
        <v>50</v>
      </c>
      <c r="F33" s="40" t="s">
        <v>32</v>
      </c>
      <c r="G33" s="40" t="s">
        <v>149</v>
      </c>
      <c r="H33" s="42">
        <v>45993</v>
      </c>
      <c r="I33" s="43" t="s">
        <v>156</v>
      </c>
    </row>
    <row r="34" spans="1:9" x14ac:dyDescent="0.25">
      <c r="A34" s="39" t="s">
        <v>60</v>
      </c>
      <c r="B34" s="40" t="s">
        <v>61</v>
      </c>
      <c r="C34" s="40" t="s">
        <v>62</v>
      </c>
      <c r="D34" s="41">
        <v>950</v>
      </c>
      <c r="E34" s="41">
        <v>25</v>
      </c>
      <c r="F34" s="40" t="s">
        <v>28</v>
      </c>
      <c r="G34" s="40" t="s">
        <v>130</v>
      </c>
      <c r="H34" s="42">
        <v>45825</v>
      </c>
      <c r="I34" s="43" t="s">
        <v>153</v>
      </c>
    </row>
    <row r="35" spans="1:9" x14ac:dyDescent="0.25">
      <c r="A35" s="44" t="s">
        <v>113</v>
      </c>
      <c r="B35" s="45" t="s">
        <v>114</v>
      </c>
      <c r="C35" s="45" t="s">
        <v>115</v>
      </c>
      <c r="D35" s="46">
        <v>100</v>
      </c>
      <c r="E35" s="46">
        <v>20</v>
      </c>
      <c r="F35" s="45" t="s">
        <v>75</v>
      </c>
      <c r="G35" s="45" t="s">
        <v>150</v>
      </c>
      <c r="H35" s="47">
        <v>45847</v>
      </c>
      <c r="I35" s="48" t="s">
        <v>162</v>
      </c>
    </row>
  </sheetData>
  <conditionalFormatting sqref="D2:D35">
    <cfRule type="colorScale" priority="5">
      <colorScale>
        <cfvo type="min"/>
        <cfvo type="formula" val="AVERAGE($D$2:$D$35)"/>
        <cfvo type="max"/>
        <color theme="7" tint="0.59999389629810485"/>
        <color rgb="FFFFEB84"/>
        <color rgb="FFFC8942"/>
      </colorScale>
    </cfRule>
  </conditionalFormatting>
  <dataValidations count="2">
    <dataValidation type="list" allowBlank="1" showInputMessage="1" showErrorMessage="1" sqref="A2:I35" xr:uid="{0E6AF0E0-DF49-4A21-BAAC-820F8B577A9A}">
      <formula1>$F$2</formula1>
    </dataValidation>
    <dataValidation type="list" allowBlank="1" showInputMessage="1" showErrorMessage="1" sqref="J7" xr:uid="{B4E78362-CB44-4DFB-A3F9-D7215DBFBAC1}">
      <formula1>$F$2:$F$35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45F9A6B0-6BE0-42D9-93E6-A39C70D4F3F4}">
            <xm:f>NOT(ISERROR(SEARCH($F$2,F1)))</xm:f>
            <xm:f>$F$2</xm:f>
            <x14:dxf>
              <font>
                <b/>
                <i val="0"/>
                <strike val="0"/>
              </font>
              <fill>
                <patternFill>
                  <bgColor rgb="FFD056E8"/>
                </patternFill>
              </fill>
            </x14:dxf>
          </x14:cfRule>
          <xm:sqref>F1:F1048576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1849-8B33-4B06-B268-8C570B01B957}">
  <dimension ref="A1:J35"/>
  <sheetViews>
    <sheetView workbookViewId="0">
      <selection sqref="A1:I35"/>
    </sheetView>
  </sheetViews>
  <sheetFormatPr defaultRowHeight="13.2" x14ac:dyDescent="0.25"/>
  <cols>
    <col min="1" max="1" width="14.77734375" bestFit="1" customWidth="1"/>
    <col min="2" max="2" width="18" bestFit="1" customWidth="1"/>
    <col min="3" max="3" width="16.21875" bestFit="1" customWidth="1"/>
    <col min="4" max="4" width="12.77734375" style="13" bestFit="1" customWidth="1"/>
    <col min="5" max="5" width="12.88671875" bestFit="1" customWidth="1"/>
    <col min="6" max="6" width="13.44140625" bestFit="1" customWidth="1"/>
    <col min="7" max="7" width="23.77734375" bestFit="1" customWidth="1"/>
    <col min="8" max="8" width="22.44140625" style="33" bestFit="1" customWidth="1"/>
    <col min="9" max="9" width="17.77734375" bestFit="1" customWidth="1"/>
    <col min="10" max="10" width="12.6640625" style="10" bestFit="1" customWidth="1"/>
  </cols>
  <sheetData>
    <row r="1" spans="1:10" x14ac:dyDescent="0.25">
      <c r="A1" s="9" t="s">
        <v>19</v>
      </c>
      <c r="B1" s="9" t="s">
        <v>20</v>
      </c>
      <c r="C1" s="9" t="s">
        <v>21</v>
      </c>
      <c r="D1" s="12" t="s">
        <v>22</v>
      </c>
      <c r="E1" s="9" t="s">
        <v>23</v>
      </c>
      <c r="F1" s="9" t="s">
        <v>24</v>
      </c>
      <c r="G1" t="s">
        <v>119</v>
      </c>
      <c r="H1" s="29" t="s">
        <v>117</v>
      </c>
      <c r="I1" s="11" t="s">
        <v>118</v>
      </c>
      <c r="J1"/>
    </row>
    <row r="2" spans="1:10" x14ac:dyDescent="0.25">
      <c r="A2" s="14" t="s">
        <v>25</v>
      </c>
      <c r="B2" s="15" t="s">
        <v>61</v>
      </c>
      <c r="C2" s="15" t="s">
        <v>27</v>
      </c>
      <c r="D2" s="16">
        <v>1000</v>
      </c>
      <c r="E2" s="17">
        <v>30</v>
      </c>
      <c r="F2" s="15" t="s">
        <v>28</v>
      </c>
      <c r="G2" s="17" t="s">
        <v>120</v>
      </c>
      <c r="H2" s="30" t="str">
        <f>LEFT(Table1_1[[#This Row],[Product ID]],6)</f>
        <v>28-JAN</v>
      </c>
      <c r="I2" s="18" t="str">
        <f>RIGHT(Table1_1[[#This Row],[Product ID]],2)</f>
        <v>US</v>
      </c>
      <c r="J2"/>
    </row>
    <row r="3" spans="1:10" x14ac:dyDescent="0.25">
      <c r="A3" s="19" t="s">
        <v>29</v>
      </c>
      <c r="B3" s="20" t="s">
        <v>30</v>
      </c>
      <c r="C3" s="20" t="s">
        <v>31</v>
      </c>
      <c r="D3" s="21">
        <v>80</v>
      </c>
      <c r="E3" s="22">
        <v>15</v>
      </c>
      <c r="F3" s="20" t="s">
        <v>32</v>
      </c>
      <c r="G3" s="22" t="s">
        <v>121</v>
      </c>
      <c r="H3" s="31" t="str">
        <f>LEFT(Table1_1[[#This Row],[Product ID]],6)</f>
        <v>15-FEB</v>
      </c>
      <c r="I3" s="23" t="str">
        <f>RIGHT(Table1_1[[#This Row],[Product ID]],2)</f>
        <v>US</v>
      </c>
      <c r="J3"/>
    </row>
    <row r="4" spans="1:10" x14ac:dyDescent="0.25">
      <c r="A4" s="19" t="s">
        <v>33</v>
      </c>
      <c r="B4" s="20" t="s">
        <v>34</v>
      </c>
      <c r="C4" s="20" t="s">
        <v>35</v>
      </c>
      <c r="D4" s="21">
        <v>130</v>
      </c>
      <c r="E4" s="22">
        <v>40</v>
      </c>
      <c r="F4" s="20" t="s">
        <v>36</v>
      </c>
      <c r="G4" s="22" t="s">
        <v>122</v>
      </c>
      <c r="H4" s="31" t="str">
        <f>LEFT(Table1_1[[#This Row],[Product ID]],6)</f>
        <v>03-MAR</v>
      </c>
      <c r="I4" s="23" t="str">
        <f>RIGHT(Table1_1[[#This Row],[Product ID]],2)</f>
        <v>US</v>
      </c>
      <c r="J4"/>
    </row>
    <row r="5" spans="1:10" x14ac:dyDescent="0.25">
      <c r="A5" s="19" t="s">
        <v>37</v>
      </c>
      <c r="B5" s="20" t="s">
        <v>96</v>
      </c>
      <c r="C5" s="20" t="s">
        <v>39</v>
      </c>
      <c r="D5" s="21">
        <v>900</v>
      </c>
      <c r="E5" s="22">
        <v>25</v>
      </c>
      <c r="F5" s="20" t="s">
        <v>28</v>
      </c>
      <c r="G5" s="22" t="s">
        <v>123</v>
      </c>
      <c r="H5" s="31" t="str">
        <f>LEFT(Table1_1[[#This Row],[Product ID]],6)</f>
        <v>11-APR</v>
      </c>
      <c r="I5" s="23" t="str">
        <f>RIGHT(Table1_1[[#This Row],[Product ID]],2)</f>
        <v>US</v>
      </c>
      <c r="J5"/>
    </row>
    <row r="6" spans="1:10" x14ac:dyDescent="0.25">
      <c r="A6" s="19" t="s">
        <v>40</v>
      </c>
      <c r="B6" s="20" t="s">
        <v>41</v>
      </c>
      <c r="C6" s="20" t="s">
        <v>42</v>
      </c>
      <c r="D6" s="21">
        <v>70</v>
      </c>
      <c r="E6" s="22">
        <v>20</v>
      </c>
      <c r="F6" s="20" t="s">
        <v>28</v>
      </c>
      <c r="G6" s="22" t="s">
        <v>124</v>
      </c>
      <c r="H6" s="31" t="str">
        <f>LEFT(Table1_1[[#This Row],[Product ID]],6)</f>
        <v>22-MAY</v>
      </c>
      <c r="I6" s="23" t="str">
        <f>RIGHT(Table1_1[[#This Row],[Product ID]],2)</f>
        <v>US</v>
      </c>
      <c r="J6"/>
    </row>
    <row r="7" spans="1:10" x14ac:dyDescent="0.25">
      <c r="A7" s="19" t="s">
        <v>43</v>
      </c>
      <c r="B7" s="20" t="s">
        <v>44</v>
      </c>
      <c r="C7" s="20" t="s">
        <v>45</v>
      </c>
      <c r="D7" s="21">
        <v>70</v>
      </c>
      <c r="E7" s="22">
        <v>45</v>
      </c>
      <c r="F7" s="20" t="s">
        <v>28</v>
      </c>
      <c r="G7" s="22" t="s">
        <v>125</v>
      </c>
      <c r="H7" s="31" t="str">
        <f>LEFT(Table1_1[[#This Row],[Product ID]],6)</f>
        <v>07-JUN</v>
      </c>
      <c r="I7" s="23" t="str">
        <f>RIGHT(Table1_1[[#This Row],[Product ID]],2)</f>
        <v>UK</v>
      </c>
      <c r="J7"/>
    </row>
    <row r="8" spans="1:10" x14ac:dyDescent="0.25">
      <c r="A8" s="19" t="s">
        <v>47</v>
      </c>
      <c r="B8" s="20" t="s">
        <v>116</v>
      </c>
      <c r="C8" s="20" t="s">
        <v>49</v>
      </c>
      <c r="D8" s="21">
        <v>30</v>
      </c>
      <c r="E8" s="22">
        <v>5</v>
      </c>
      <c r="F8" s="20" t="s">
        <v>32</v>
      </c>
      <c r="G8" s="22" t="s">
        <v>126</v>
      </c>
      <c r="H8" s="31" t="str">
        <f>LEFT(Table1_1[[#This Row],[Product ID]],6)</f>
        <v>19-JUL</v>
      </c>
      <c r="I8" s="23" t="str">
        <f>RIGHT(Table1_1[[#This Row],[Product ID]],2)</f>
        <v>UK</v>
      </c>
      <c r="J8"/>
    </row>
    <row r="9" spans="1:10" x14ac:dyDescent="0.25">
      <c r="A9" s="19" t="s">
        <v>50</v>
      </c>
      <c r="B9" s="20" t="s">
        <v>51</v>
      </c>
      <c r="C9" s="20" t="s">
        <v>52</v>
      </c>
      <c r="D9" s="21">
        <v>90</v>
      </c>
      <c r="E9" s="22">
        <v>35</v>
      </c>
      <c r="F9" s="20" t="s">
        <v>36</v>
      </c>
      <c r="G9" s="22" t="s">
        <v>127</v>
      </c>
      <c r="H9" s="31" t="str">
        <f>LEFT(Table1_1[[#This Row],[Product ID]],6)</f>
        <v>23-AUG</v>
      </c>
      <c r="I9" s="23" t="str">
        <f>RIGHT(Table1_1[[#This Row],[Product ID]],2)</f>
        <v>UK</v>
      </c>
      <c r="J9"/>
    </row>
    <row r="10" spans="1:10" x14ac:dyDescent="0.25">
      <c r="A10" s="19" t="s">
        <v>53</v>
      </c>
      <c r="B10" s="20" t="s">
        <v>54</v>
      </c>
      <c r="C10" s="20" t="s">
        <v>55</v>
      </c>
      <c r="D10" s="21">
        <v>500</v>
      </c>
      <c r="E10" s="22">
        <v>50</v>
      </c>
      <c r="F10" s="20" t="s">
        <v>28</v>
      </c>
      <c r="G10" s="22" t="s">
        <v>128</v>
      </c>
      <c r="H10" s="31" t="str">
        <f>LEFT(Table1_1[[#This Row],[Product ID]],6)</f>
        <v>05-SEP</v>
      </c>
      <c r="I10" s="23" t="str">
        <f>RIGHT(Table1_1[[#This Row],[Product ID]],2)</f>
        <v>UK</v>
      </c>
      <c r="J10"/>
    </row>
    <row r="11" spans="1:10" x14ac:dyDescent="0.25">
      <c r="A11" s="19" t="s">
        <v>56</v>
      </c>
      <c r="B11" s="20" t="s">
        <v>57</v>
      </c>
      <c r="C11" s="20" t="s">
        <v>58</v>
      </c>
      <c r="D11" s="21">
        <v>130</v>
      </c>
      <c r="E11" s="22">
        <v>10</v>
      </c>
      <c r="F11" s="20" t="s">
        <v>59</v>
      </c>
      <c r="G11" s="22" t="s">
        <v>129</v>
      </c>
      <c r="H11" s="31" t="str">
        <f>LEFT(Table1_1[[#This Row],[Product ID]],6)</f>
        <v>14-OCT</v>
      </c>
      <c r="I11" s="23" t="str">
        <f>RIGHT(Table1_1[[#This Row],[Product ID]],2)</f>
        <v>UK</v>
      </c>
      <c r="J11"/>
    </row>
    <row r="12" spans="1:10" x14ac:dyDescent="0.25">
      <c r="A12" s="19" t="s">
        <v>60</v>
      </c>
      <c r="B12" s="20" t="s">
        <v>61</v>
      </c>
      <c r="C12" s="20" t="s">
        <v>62</v>
      </c>
      <c r="D12" s="21">
        <v>950</v>
      </c>
      <c r="E12" s="22">
        <v>25</v>
      </c>
      <c r="F12" s="20" t="s">
        <v>28</v>
      </c>
      <c r="G12" s="22" t="s">
        <v>130</v>
      </c>
      <c r="H12" s="31" t="str">
        <f>LEFT(Table1_1[[#This Row],[Product ID]],6)</f>
        <v>17-JUN</v>
      </c>
      <c r="I12" s="23" t="str">
        <f>RIGHT(Table1_1[[#This Row],[Product ID]],2)</f>
        <v>IN</v>
      </c>
      <c r="J12"/>
    </row>
    <row r="13" spans="1:10" x14ac:dyDescent="0.25">
      <c r="A13" s="19" t="s">
        <v>63</v>
      </c>
      <c r="B13" s="20" t="s">
        <v>30</v>
      </c>
      <c r="C13" s="20" t="s">
        <v>49</v>
      </c>
      <c r="D13" s="21">
        <v>90</v>
      </c>
      <c r="E13" s="22">
        <v>40</v>
      </c>
      <c r="F13" s="20" t="s">
        <v>28</v>
      </c>
      <c r="G13" s="22" t="s">
        <v>131</v>
      </c>
      <c r="H13" s="31" t="str">
        <f>LEFT(Table1_1[[#This Row],[Product ID]],6)</f>
        <v>25-NOV</v>
      </c>
      <c r="I13" s="23" t="str">
        <f>RIGHT(Table1_1[[#This Row],[Product ID]],2)</f>
        <v>AU</v>
      </c>
      <c r="J13"/>
    </row>
    <row r="14" spans="1:10" x14ac:dyDescent="0.25">
      <c r="A14" s="19" t="s">
        <v>64</v>
      </c>
      <c r="B14" s="20" t="s">
        <v>34</v>
      </c>
      <c r="C14" s="20" t="s">
        <v>65</v>
      </c>
      <c r="D14" s="21">
        <v>120</v>
      </c>
      <c r="E14" s="22">
        <v>35</v>
      </c>
      <c r="F14" s="20" t="s">
        <v>28</v>
      </c>
      <c r="G14" s="22" t="s">
        <v>132</v>
      </c>
      <c r="H14" s="31" t="str">
        <f>LEFT(Table1_1[[#This Row],[Product ID]],6)</f>
        <v>08-DEC</v>
      </c>
      <c r="I14" s="23" t="str">
        <f>RIGHT(Table1_1[[#This Row],[Product ID]],2)</f>
        <v>DE</v>
      </c>
      <c r="J14"/>
    </row>
    <row r="15" spans="1:10" x14ac:dyDescent="0.25">
      <c r="A15" s="19" t="s">
        <v>66</v>
      </c>
      <c r="B15" s="20" t="s">
        <v>67</v>
      </c>
      <c r="C15" s="20" t="s">
        <v>68</v>
      </c>
      <c r="D15" s="21">
        <v>150</v>
      </c>
      <c r="E15" s="22">
        <v>15</v>
      </c>
      <c r="F15" s="20" t="s">
        <v>28</v>
      </c>
      <c r="G15" s="22" t="s">
        <v>133</v>
      </c>
      <c r="H15" s="31" t="str">
        <f>LEFT(Table1_1[[#This Row],[Product ID]],6)</f>
        <v>18-FEB</v>
      </c>
      <c r="I15" s="23" t="str">
        <f>RIGHT(Table1_1[[#This Row],[Product ID]],2)</f>
        <v>CA</v>
      </c>
      <c r="J15"/>
    </row>
    <row r="16" spans="1:10" x14ac:dyDescent="0.25">
      <c r="A16" s="19" t="s">
        <v>69</v>
      </c>
      <c r="B16" s="20" t="s">
        <v>44</v>
      </c>
      <c r="C16" s="20" t="s">
        <v>71</v>
      </c>
      <c r="D16" s="21">
        <v>250</v>
      </c>
      <c r="E16" s="22">
        <v>20</v>
      </c>
      <c r="F16" s="20" t="s">
        <v>28</v>
      </c>
      <c r="G16" s="22" t="s">
        <v>134</v>
      </c>
      <c r="H16" s="31" t="str">
        <f>LEFT(Table1_1[[#This Row],[Product ID]],6)</f>
        <v>16-APR</v>
      </c>
      <c r="I16" s="23" t="str">
        <f>RIGHT(Table1_1[[#This Row],[Product ID]],2)</f>
        <v>ES</v>
      </c>
      <c r="J16"/>
    </row>
    <row r="17" spans="1:10" x14ac:dyDescent="0.25">
      <c r="A17" s="19" t="s">
        <v>72</v>
      </c>
      <c r="B17" s="20" t="s">
        <v>73</v>
      </c>
      <c r="C17" s="20" t="s">
        <v>74</v>
      </c>
      <c r="D17" s="21">
        <v>50</v>
      </c>
      <c r="E17" s="22">
        <v>35</v>
      </c>
      <c r="F17" s="20" t="s">
        <v>75</v>
      </c>
      <c r="G17" s="22" t="s">
        <v>135</v>
      </c>
      <c r="H17" s="31" t="str">
        <f>LEFT(Table1_1[[#This Row],[Product ID]],6)</f>
        <v>21-AUG</v>
      </c>
      <c r="I17" s="23" t="str">
        <f>RIGHT(Table1_1[[#This Row],[Product ID]],2)</f>
        <v>CA</v>
      </c>
      <c r="J17"/>
    </row>
    <row r="18" spans="1:10" x14ac:dyDescent="0.25">
      <c r="A18" s="19" t="s">
        <v>76</v>
      </c>
      <c r="B18" s="20" t="s">
        <v>67</v>
      </c>
      <c r="C18" s="20" t="s">
        <v>77</v>
      </c>
      <c r="D18" s="21">
        <v>160</v>
      </c>
      <c r="E18" s="22">
        <v>15</v>
      </c>
      <c r="F18" s="20" t="s">
        <v>28</v>
      </c>
      <c r="G18" s="22" t="s">
        <v>136</v>
      </c>
      <c r="H18" s="31" t="str">
        <f>LEFT(Table1_1[[#This Row],[Product ID]],6)</f>
        <v>20-AUG</v>
      </c>
      <c r="I18" s="23" t="str">
        <f>RIGHT(Table1_1[[#This Row],[Product ID]],2)</f>
        <v>CN</v>
      </c>
      <c r="J18"/>
    </row>
    <row r="19" spans="1:10" x14ac:dyDescent="0.25">
      <c r="A19" s="19" t="s">
        <v>78</v>
      </c>
      <c r="B19" s="20" t="s">
        <v>61</v>
      </c>
      <c r="C19" s="20" t="s">
        <v>79</v>
      </c>
      <c r="D19" s="21">
        <v>980</v>
      </c>
      <c r="E19" s="22">
        <v>10</v>
      </c>
      <c r="F19" s="20" t="s">
        <v>28</v>
      </c>
      <c r="G19" s="22" t="s">
        <v>137</v>
      </c>
      <c r="H19" s="31" t="str">
        <f>LEFT(Table1_1[[#This Row],[Product ID]],6)</f>
        <v>27-JAN</v>
      </c>
      <c r="I19" s="23" t="str">
        <f>RIGHT(Table1_1[[#This Row],[Product ID]],2)</f>
        <v>IT</v>
      </c>
      <c r="J19"/>
    </row>
    <row r="20" spans="1:10" x14ac:dyDescent="0.25">
      <c r="A20" s="19" t="s">
        <v>80</v>
      </c>
      <c r="B20" s="20" t="s">
        <v>81</v>
      </c>
      <c r="C20" s="20" t="s">
        <v>82</v>
      </c>
      <c r="D20" s="21">
        <v>150</v>
      </c>
      <c r="E20" s="22">
        <v>15</v>
      </c>
      <c r="F20" s="20" t="s">
        <v>32</v>
      </c>
      <c r="G20" s="22" t="s">
        <v>138</v>
      </c>
      <c r="H20" s="31" t="str">
        <f>LEFT(Table1_1[[#This Row],[Product ID]],6)</f>
        <v>01-MAR</v>
      </c>
      <c r="I20" s="23" t="str">
        <f>RIGHT(Table1_1[[#This Row],[Product ID]],2)</f>
        <v>UK</v>
      </c>
      <c r="J20"/>
    </row>
    <row r="21" spans="1:10" x14ac:dyDescent="0.25">
      <c r="A21" s="19" t="s">
        <v>83</v>
      </c>
      <c r="B21" s="20" t="s">
        <v>84</v>
      </c>
      <c r="C21" s="20" t="s">
        <v>85</v>
      </c>
      <c r="D21" s="21">
        <v>150</v>
      </c>
      <c r="E21" s="22">
        <v>10</v>
      </c>
      <c r="F21" s="20" t="s">
        <v>59</v>
      </c>
      <c r="G21" s="22" t="s">
        <v>139</v>
      </c>
      <c r="H21" s="31" t="str">
        <f>LEFT(Table1_1[[#This Row],[Product ID]],6)</f>
        <v>14-AUG</v>
      </c>
      <c r="I21" s="23" t="str">
        <f>RIGHT(Table1_1[[#This Row],[Product ID]],2)</f>
        <v>US</v>
      </c>
      <c r="J21"/>
    </row>
    <row r="22" spans="1:10" x14ac:dyDescent="0.25">
      <c r="A22" s="19" t="s">
        <v>86</v>
      </c>
      <c r="B22" s="20" t="s">
        <v>87</v>
      </c>
      <c r="C22" s="20" t="s">
        <v>88</v>
      </c>
      <c r="D22" s="21">
        <v>700</v>
      </c>
      <c r="E22" s="22">
        <v>50</v>
      </c>
      <c r="F22" s="20" t="s">
        <v>28</v>
      </c>
      <c r="G22" s="22" t="s">
        <v>140</v>
      </c>
      <c r="H22" s="31" t="str">
        <f>LEFT(Table1_1[[#This Row],[Product ID]],6)</f>
        <v>14-MAY</v>
      </c>
      <c r="I22" s="23" t="str">
        <f>RIGHT(Table1_1[[#This Row],[Product ID]],2)</f>
        <v>RU</v>
      </c>
      <c r="J22"/>
    </row>
    <row r="23" spans="1:10" x14ac:dyDescent="0.25">
      <c r="A23" s="19" t="s">
        <v>89</v>
      </c>
      <c r="B23" s="20" t="s">
        <v>90</v>
      </c>
      <c r="C23" s="20" t="s">
        <v>91</v>
      </c>
      <c r="D23" s="21">
        <v>80</v>
      </c>
      <c r="E23" s="22">
        <v>20</v>
      </c>
      <c r="F23" s="20" t="s">
        <v>36</v>
      </c>
      <c r="G23" s="22" t="s">
        <v>141</v>
      </c>
      <c r="H23" s="31" t="str">
        <f>LEFT(Table1_1[[#This Row],[Product ID]],6)</f>
        <v>09-JAN</v>
      </c>
      <c r="I23" s="23" t="str">
        <f>RIGHT(Table1_1[[#This Row],[Product ID]],2)</f>
        <v>CA</v>
      </c>
      <c r="J23"/>
    </row>
    <row r="24" spans="1:10" x14ac:dyDescent="0.25">
      <c r="A24" s="19" t="s">
        <v>92</v>
      </c>
      <c r="B24" s="20" t="s">
        <v>93</v>
      </c>
      <c r="C24" s="20" t="s">
        <v>94</v>
      </c>
      <c r="D24" s="21">
        <v>150</v>
      </c>
      <c r="E24" s="22">
        <v>30</v>
      </c>
      <c r="F24" s="20" t="s">
        <v>36</v>
      </c>
      <c r="G24" s="22" t="s">
        <v>142</v>
      </c>
      <c r="H24" s="31" t="str">
        <f>LEFT(Table1_1[[#This Row],[Product ID]],6)</f>
        <v>19-JUL</v>
      </c>
      <c r="I24" s="23" t="str">
        <f>RIGHT(Table1_1[[#This Row],[Product ID]],2)</f>
        <v>BR</v>
      </c>
      <c r="J24"/>
    </row>
    <row r="25" spans="1:10" x14ac:dyDescent="0.25">
      <c r="A25" s="19" t="s">
        <v>72</v>
      </c>
      <c r="B25" s="20" t="s">
        <v>73</v>
      </c>
      <c r="C25" s="20" t="s">
        <v>74</v>
      </c>
      <c r="D25" s="21">
        <v>50</v>
      </c>
      <c r="E25" s="22">
        <v>35</v>
      </c>
      <c r="F25" s="20" t="s">
        <v>75</v>
      </c>
      <c r="G25" s="22" t="s">
        <v>135</v>
      </c>
      <c r="H25" s="31" t="str">
        <f>LEFT(Table1_1[[#This Row],[Product ID]],6)</f>
        <v>21-AUG</v>
      </c>
      <c r="I25" s="23" t="str">
        <f>RIGHT(Table1_1[[#This Row],[Product ID]],2)</f>
        <v>CA</v>
      </c>
      <c r="J25"/>
    </row>
    <row r="26" spans="1:10" x14ac:dyDescent="0.25">
      <c r="A26" s="19" t="s">
        <v>95</v>
      </c>
      <c r="B26" s="20" t="s">
        <v>96</v>
      </c>
      <c r="C26" s="20" t="s">
        <v>97</v>
      </c>
      <c r="D26" s="21">
        <v>800</v>
      </c>
      <c r="E26" s="22">
        <v>45</v>
      </c>
      <c r="F26" s="20" t="s">
        <v>28</v>
      </c>
      <c r="G26" s="22" t="s">
        <v>143</v>
      </c>
      <c r="H26" s="31" t="str">
        <f>LEFT(Table1_1[[#This Row],[Product ID]],6)</f>
        <v>29-SEP</v>
      </c>
      <c r="I26" s="23" t="str">
        <f>RIGHT(Table1_1[[#This Row],[Product ID]],2)</f>
        <v>CA</v>
      </c>
      <c r="J26"/>
    </row>
    <row r="27" spans="1:10" x14ac:dyDescent="0.25">
      <c r="A27" s="19" t="s">
        <v>98</v>
      </c>
      <c r="B27" s="20" t="s">
        <v>81</v>
      </c>
      <c r="C27" s="20" t="s">
        <v>99</v>
      </c>
      <c r="D27" s="21">
        <v>800</v>
      </c>
      <c r="E27" s="22">
        <v>25</v>
      </c>
      <c r="F27" s="20" t="s">
        <v>32</v>
      </c>
      <c r="G27" s="22" t="s">
        <v>144</v>
      </c>
      <c r="H27" s="31" t="str">
        <f>LEFT(Table1_1[[#This Row],[Product ID]],6)</f>
        <v>03-JUN</v>
      </c>
      <c r="I27" s="23" t="str">
        <f>RIGHT(Table1_1[[#This Row],[Product ID]],2)</f>
        <v>CA</v>
      </c>
      <c r="J27"/>
    </row>
    <row r="28" spans="1:10" x14ac:dyDescent="0.25">
      <c r="A28" s="19" t="s">
        <v>100</v>
      </c>
      <c r="B28" s="20" t="s">
        <v>51</v>
      </c>
      <c r="C28" s="20" t="s">
        <v>101</v>
      </c>
      <c r="D28" s="21">
        <v>400</v>
      </c>
      <c r="E28" s="22">
        <v>40</v>
      </c>
      <c r="F28" s="20" t="s">
        <v>36</v>
      </c>
      <c r="G28" s="22" t="s">
        <v>145</v>
      </c>
      <c r="H28" s="31" t="str">
        <f>LEFT(Table1_1[[#This Row],[Product ID]],6)</f>
        <v>11-JUL</v>
      </c>
      <c r="I28" s="23" t="str">
        <f>RIGHT(Table1_1[[#This Row],[Product ID]],2)</f>
        <v>CA</v>
      </c>
      <c r="J28"/>
    </row>
    <row r="29" spans="1:10" x14ac:dyDescent="0.25">
      <c r="A29" s="19" t="s">
        <v>69</v>
      </c>
      <c r="B29" s="20" t="s">
        <v>44</v>
      </c>
      <c r="C29" s="20" t="s">
        <v>71</v>
      </c>
      <c r="D29" s="21">
        <v>250</v>
      </c>
      <c r="E29" s="22">
        <v>20</v>
      </c>
      <c r="F29" s="20" t="s">
        <v>28</v>
      </c>
      <c r="G29" s="22" t="s">
        <v>134</v>
      </c>
      <c r="H29" s="31" t="str">
        <f>LEFT(Table1_1[[#This Row],[Product ID]],6)</f>
        <v>16-APR</v>
      </c>
      <c r="I29" s="23" t="str">
        <f>RIGHT(Table1_1[[#This Row],[Product ID]],2)</f>
        <v>ES</v>
      </c>
      <c r="J29"/>
    </row>
    <row r="30" spans="1:10" x14ac:dyDescent="0.25">
      <c r="A30" s="19" t="s">
        <v>102</v>
      </c>
      <c r="B30" s="20" t="s">
        <v>103</v>
      </c>
      <c r="C30" s="20" t="s">
        <v>104</v>
      </c>
      <c r="D30" s="21">
        <v>60</v>
      </c>
      <c r="E30" s="22">
        <v>30</v>
      </c>
      <c r="F30" s="20" t="s">
        <v>32</v>
      </c>
      <c r="G30" s="22" t="s">
        <v>146</v>
      </c>
      <c r="H30" s="31" t="str">
        <f>LEFT(Table1_1[[#This Row],[Product ID]],6)</f>
        <v>07-MAR</v>
      </c>
      <c r="I30" s="23" t="str">
        <f>RIGHT(Table1_1[[#This Row],[Product ID]],2)</f>
        <v>CA</v>
      </c>
      <c r="J30"/>
    </row>
    <row r="31" spans="1:10" x14ac:dyDescent="0.25">
      <c r="A31" s="19" t="s">
        <v>105</v>
      </c>
      <c r="B31" s="20" t="s">
        <v>106</v>
      </c>
      <c r="C31" s="20" t="s">
        <v>107</v>
      </c>
      <c r="D31" s="21">
        <v>40</v>
      </c>
      <c r="E31" s="22">
        <v>10</v>
      </c>
      <c r="F31" s="20" t="s">
        <v>36</v>
      </c>
      <c r="G31" s="22" t="s">
        <v>147</v>
      </c>
      <c r="H31" s="31" t="str">
        <f>LEFT(Table1_1[[#This Row],[Product ID]],6)</f>
        <v>13-APR</v>
      </c>
      <c r="I31" s="23" t="str">
        <f>RIGHT(Table1_1[[#This Row],[Product ID]],2)</f>
        <v>CA</v>
      </c>
      <c r="J31"/>
    </row>
    <row r="32" spans="1:10" x14ac:dyDescent="0.25">
      <c r="A32" s="19" t="s">
        <v>108</v>
      </c>
      <c r="B32" s="20" t="s">
        <v>93</v>
      </c>
      <c r="C32" s="20" t="s">
        <v>109</v>
      </c>
      <c r="D32" s="21">
        <v>130</v>
      </c>
      <c r="E32" s="22">
        <v>5</v>
      </c>
      <c r="F32" s="20" t="s">
        <v>28</v>
      </c>
      <c r="G32" s="22" t="s">
        <v>148</v>
      </c>
      <c r="H32" s="31" t="str">
        <f>LEFT(Table1_1[[#This Row],[Product ID]],6)</f>
        <v>24-MAY</v>
      </c>
      <c r="I32" s="23" t="str">
        <f>RIGHT(Table1_1[[#This Row],[Product ID]],2)</f>
        <v>CA</v>
      </c>
      <c r="J32"/>
    </row>
    <row r="33" spans="1:10" x14ac:dyDescent="0.25">
      <c r="A33" s="19" t="s">
        <v>110</v>
      </c>
      <c r="B33" s="20" t="s">
        <v>111</v>
      </c>
      <c r="C33" s="20" t="s">
        <v>112</v>
      </c>
      <c r="D33" s="21">
        <v>50</v>
      </c>
      <c r="E33" s="22">
        <v>50</v>
      </c>
      <c r="F33" s="20" t="s">
        <v>32</v>
      </c>
      <c r="G33" s="22" t="s">
        <v>149</v>
      </c>
      <c r="H33" s="31" t="str">
        <f>LEFT(Table1_1[[#This Row],[Product ID]],6)</f>
        <v>02-DEC</v>
      </c>
      <c r="I33" s="23" t="str">
        <f>RIGHT(Table1_1[[#This Row],[Product ID]],2)</f>
        <v>CA</v>
      </c>
      <c r="J33"/>
    </row>
    <row r="34" spans="1:10" x14ac:dyDescent="0.25">
      <c r="A34" s="19" t="s">
        <v>60</v>
      </c>
      <c r="B34" s="20" t="s">
        <v>61</v>
      </c>
      <c r="C34" s="20" t="s">
        <v>62</v>
      </c>
      <c r="D34" s="21">
        <v>950</v>
      </c>
      <c r="E34" s="22">
        <v>25</v>
      </c>
      <c r="F34" s="20" t="s">
        <v>28</v>
      </c>
      <c r="G34" s="22" t="s">
        <v>130</v>
      </c>
      <c r="H34" s="31" t="str">
        <f>LEFT(Table1_1[[#This Row],[Product ID]],6)</f>
        <v>17-JUN</v>
      </c>
      <c r="I34" s="23" t="str">
        <f>RIGHT(Table1_1[[#This Row],[Product ID]],2)</f>
        <v>IN</v>
      </c>
      <c r="J34"/>
    </row>
    <row r="35" spans="1:10" x14ac:dyDescent="0.25">
      <c r="A35" s="24" t="s">
        <v>113</v>
      </c>
      <c r="B35" s="25" t="s">
        <v>114</v>
      </c>
      <c r="C35" s="25" t="s">
        <v>115</v>
      </c>
      <c r="D35" s="26">
        <v>100</v>
      </c>
      <c r="E35" s="27">
        <v>20</v>
      </c>
      <c r="F35" s="25" t="s">
        <v>75</v>
      </c>
      <c r="G35" s="27" t="s">
        <v>150</v>
      </c>
      <c r="H35" s="32" t="str">
        <f>LEFT(Table1_1[[#This Row],[Product ID]],6)</f>
        <v>09-JUL</v>
      </c>
      <c r="I35" s="28" t="str">
        <f>RIGHT(Table1_1[[#This Row],[Product ID]],2)</f>
        <v>FR</v>
      </c>
      <c r="J3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16821D-DDFF-4241-847E-93583B8FA5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Table1_1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Vaisakhan MN</cp:lastModifiedBy>
  <dcterms:modified xsi:type="dcterms:W3CDTF">2025-11-10T16:37:59Z</dcterms:modified>
</cp:coreProperties>
</file>